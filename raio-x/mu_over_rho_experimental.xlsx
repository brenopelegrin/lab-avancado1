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<sst xmlns="http://schemas.openxmlformats.org/spreadsheetml/2006/main" count="35" uniqueCount="30">
  <si>
    <t xml:space="preserve">ESPESSURA (mm)</t>
  </si>
  <si>
    <t xml:space="preserve">DENSIDADE(gm/cm^3)</t>
  </si>
  <si>
    <t xml:space="preserve">AMOSTRA</t>
  </si>
  <si>
    <t xml:space="preserve">Média Amostra</t>
  </si>
  <si>
    <t xml:space="preserve">VAZIO</t>
  </si>
  <si>
    <t xml:space="preserve">Vazio</t>
  </si>
  <si>
    <t xml:space="preserve">TEMPO DE AMOSTRAGEM (s)</t>
  </si>
  <si>
    <t xml:space="preserve">mu_over_rho</t>
  </si>
  <si>
    <t xml:space="preserve">elemento</t>
  </si>
  <si>
    <t xml:space="preserve">n_atomico</t>
  </si>
  <si>
    <t xml:space="preserve">d</t>
  </si>
  <si>
    <t xml:space="preserve">p</t>
  </si>
  <si>
    <t xml:space="preserve">medida1_amostra</t>
  </si>
  <si>
    <t xml:space="preserve">medida2_amostra</t>
  </si>
  <si>
    <t xml:space="preserve">medida3_amostra</t>
  </si>
  <si>
    <t xml:space="preserve">medida_media_amostra</t>
  </si>
  <si>
    <t xml:space="preserve">medida1_vazio</t>
  </si>
  <si>
    <t xml:space="preserve">medida2_vazio</t>
  </si>
  <si>
    <t xml:space="preserve">medida3_vazio</t>
  </si>
  <si>
    <t xml:space="preserve">vazio_media</t>
  </si>
  <si>
    <t xml:space="preserve">t_amostragem</t>
  </si>
  <si>
    <t xml:space="preserve">Al</t>
  </si>
  <si>
    <t xml:space="preserve">Fe</t>
  </si>
  <si>
    <t xml:space="preserve">Cu</t>
  </si>
  <si>
    <t xml:space="preserve">Zr</t>
  </si>
  <si>
    <t xml:space="preserve">Nb</t>
  </si>
  <si>
    <t xml:space="preserve">Mo</t>
  </si>
  <si>
    <t xml:space="preserve">Ag</t>
  </si>
  <si>
    <t xml:space="preserve">In</t>
  </si>
  <si>
    <t xml:space="preserve">Al (tabelado)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</si>
</sst>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.m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CCCCFF"/>
      </patternFill>
    </fill>
    <fill>
      <patternFill patternType="solid">
        <fgColor rgb="FFFFF2CC"/>
        <bgColor rgb="FFF3F3F3"/>
      </patternFill>
    </fill>
    <fill>
      <patternFill patternType="solid">
        <fgColor rgb="FFB6D7A8"/>
        <bgColor rgb="FFCCCCFF"/>
      </patternFill>
    </fill>
    <fill>
      <patternFill patternType="solid">
        <fgColor rgb="FFF3F3F3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N3" activeCellId="0" sqref="N3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16.89"/>
    <col collapsed="false" customWidth="true" hidden="false" outlineLevel="0" max="4" min="4" style="0" width="19"/>
    <col collapsed="false" customWidth="true" hidden="false" outlineLevel="0" max="5" min="5" style="0" width="16.63"/>
    <col collapsed="false" customWidth="true" hidden="false" outlineLevel="0" max="6" min="6" style="0" width="16.89"/>
    <col collapsed="false" customWidth="true" hidden="false" outlineLevel="0" max="7" min="7" style="0" width="17.5"/>
    <col collapsed="false" customWidth="true" hidden="false" outlineLevel="0" max="11" min="11" style="0" width="26.88"/>
    <col collapsed="false" customWidth="true" hidden="false" outlineLevel="0" max="13" min="13" style="0" width="27"/>
  </cols>
  <sheetData>
    <row r="1" customFormat="false" ht="15.75" hidden="false" customHeight="false" outlineLevel="0" collapsed="false">
      <c r="A1" s="1"/>
      <c r="B1" s="1"/>
      <c r="C1" s="1" t="s">
        <v>0</v>
      </c>
      <c r="D1" s="1" t="s">
        <v>1</v>
      </c>
      <c r="E1" s="2" t="s">
        <v>2</v>
      </c>
      <c r="F1" s="2" t="s">
        <v>2</v>
      </c>
      <c r="G1" s="2" t="s">
        <v>2</v>
      </c>
      <c r="H1" s="3" t="s">
        <v>3</v>
      </c>
      <c r="I1" s="4" t="s">
        <v>4</v>
      </c>
      <c r="J1" s="4" t="s">
        <v>4</v>
      </c>
      <c r="K1" s="4" t="s">
        <v>4</v>
      </c>
      <c r="L1" s="3" t="s">
        <v>5</v>
      </c>
      <c r="M1" s="1" t="s">
        <v>6</v>
      </c>
      <c r="N1" s="3" t="s">
        <v>7</v>
      </c>
    </row>
    <row r="2" customFormat="false" ht="15.7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3" t="s">
        <v>15</v>
      </c>
      <c r="I2" s="4" t="s">
        <v>16</v>
      </c>
      <c r="J2" s="4" t="s">
        <v>17</v>
      </c>
      <c r="K2" s="4" t="s">
        <v>18</v>
      </c>
      <c r="L2" s="3" t="s">
        <v>19</v>
      </c>
      <c r="M2" s="1" t="s">
        <v>20</v>
      </c>
      <c r="N2" s="5" t="s">
        <v>7</v>
      </c>
    </row>
    <row r="3" customFormat="false" ht="15.75" hidden="false" customHeight="false" outlineLevel="0" collapsed="false">
      <c r="A3" s="6" t="s">
        <v>21</v>
      </c>
      <c r="B3" s="6" t="n">
        <v>13</v>
      </c>
      <c r="C3" s="6" t="n">
        <v>0.11</v>
      </c>
      <c r="D3" s="6" t="n">
        <v>2.7</v>
      </c>
      <c r="E3" s="6" t="n">
        <v>926</v>
      </c>
      <c r="F3" s="6" t="n">
        <v>930.4</v>
      </c>
      <c r="G3" s="6" t="n">
        <v>928.9</v>
      </c>
      <c r="H3" s="6" t="n">
        <f aca="false">AVERAGE(E3:G3)</f>
        <v>928.433333333333</v>
      </c>
      <c r="I3" s="6" t="n">
        <v>1024.1</v>
      </c>
      <c r="J3" s="6" t="n">
        <v>1029.8</v>
      </c>
      <c r="K3" s="6" t="n">
        <v>1036.5</v>
      </c>
      <c r="L3" s="6" t="n">
        <f aca="false">AVERAGE(I3:K3)</f>
        <v>1030.13333333333</v>
      </c>
      <c r="M3" s="6" t="n">
        <v>10</v>
      </c>
      <c r="N3" s="6" t="n">
        <f aca="false">(-LN((H3/L3))/(C3/10))/D3</f>
        <v>3.49982979339647</v>
      </c>
      <c r="P3" s="7"/>
      <c r="Q3" s="8"/>
      <c r="R3" s="7"/>
    </row>
    <row r="4" customFormat="false" ht="15.75" hidden="false" customHeight="false" outlineLevel="0" collapsed="false">
      <c r="A4" s="6" t="s">
        <v>22</v>
      </c>
      <c r="B4" s="6" t="n">
        <v>26</v>
      </c>
      <c r="C4" s="6" t="n">
        <v>0.05</v>
      </c>
      <c r="D4" s="6" t="n">
        <v>7.87</v>
      </c>
      <c r="E4" s="6" t="n">
        <v>251.1</v>
      </c>
      <c r="F4" s="6" t="n">
        <v>247.9</v>
      </c>
      <c r="G4" s="6" t="n">
        <v>260.4</v>
      </c>
      <c r="H4" s="6" t="n">
        <f aca="false">AVERAGE(E4:G4)</f>
        <v>253.133333333333</v>
      </c>
      <c r="I4" s="6" t="n">
        <v>1034</v>
      </c>
      <c r="J4" s="6" t="n">
        <v>1051</v>
      </c>
      <c r="K4" s="6" t="n">
        <v>1036</v>
      </c>
      <c r="L4" s="6" t="n">
        <f aca="false">AVERAGE(I4:K4)</f>
        <v>1040.33333333333</v>
      </c>
      <c r="M4" s="6" t="n">
        <v>10</v>
      </c>
      <c r="N4" s="6" t="n">
        <f aca="false">(-LN((H4/L4))/(C4/10))/D4</f>
        <v>35.9181726676767</v>
      </c>
    </row>
    <row r="5" customFormat="false" ht="15.75" hidden="false" customHeight="false" outlineLevel="0" collapsed="false">
      <c r="A5" s="6" t="s">
        <v>23</v>
      </c>
      <c r="B5" s="6" t="n">
        <v>29</v>
      </c>
      <c r="C5" s="6" t="n">
        <v>0.06</v>
      </c>
      <c r="D5" s="6" t="n">
        <v>8.96</v>
      </c>
      <c r="E5" s="6" t="n">
        <v>103.1</v>
      </c>
      <c r="F5" s="6" t="n">
        <v>101.5</v>
      </c>
      <c r="G5" s="6" t="n">
        <v>102.7</v>
      </c>
      <c r="H5" s="6" t="n">
        <f aca="false">AVERAGE(E5:G5)</f>
        <v>102.433333333333</v>
      </c>
      <c r="I5" s="6" t="n">
        <v>1043</v>
      </c>
      <c r="J5" s="6" t="n">
        <v>1045.5</v>
      </c>
      <c r="K5" s="6" t="n">
        <v>1039.7</v>
      </c>
      <c r="L5" s="6" t="n">
        <f aca="false">AVERAGE(I5:K5)</f>
        <v>1042.73333333333</v>
      </c>
      <c r="M5" s="6" t="n">
        <v>10</v>
      </c>
      <c r="N5" s="6" t="n">
        <f aca="false">(-LN((H5/L5))/(C5/10))/D5</f>
        <v>43.161989752673</v>
      </c>
    </row>
    <row r="6" customFormat="false" ht="15.75" hidden="false" customHeight="false" outlineLevel="0" collapsed="false">
      <c r="A6" s="6" t="s">
        <v>24</v>
      </c>
      <c r="B6" s="6" t="n">
        <v>40</v>
      </c>
      <c r="C6" s="6" t="n">
        <v>0.05</v>
      </c>
      <c r="D6" s="6" t="n">
        <v>6.5</v>
      </c>
      <c r="E6" s="6" t="n">
        <v>648.9</v>
      </c>
      <c r="F6" s="6" t="n">
        <v>644.8</v>
      </c>
      <c r="G6" s="6" t="n">
        <v>636.8</v>
      </c>
      <c r="H6" s="6" t="n">
        <f aca="false">AVERAGE(E6:G6)</f>
        <v>643.5</v>
      </c>
      <c r="I6" s="6" t="n">
        <v>1045</v>
      </c>
      <c r="J6" s="6" t="n">
        <v>1064.3</v>
      </c>
      <c r="K6" s="6" t="n">
        <v>1055</v>
      </c>
      <c r="L6" s="6" t="n">
        <f aca="false">AVERAGE(I6:K6)</f>
        <v>1054.76666666667</v>
      </c>
      <c r="M6" s="6" t="n">
        <v>10</v>
      </c>
      <c r="N6" s="6" t="n">
        <f aca="false">(-LN((H6/L6))/(C6/10))/D6</f>
        <v>15.2047023192668</v>
      </c>
    </row>
    <row r="7" customFormat="false" ht="15.75" hidden="false" customHeight="false" outlineLevel="0" collapsed="false">
      <c r="A7" s="6" t="s">
        <v>25</v>
      </c>
      <c r="B7" s="6" t="n">
        <v>41</v>
      </c>
      <c r="C7" s="6" t="n">
        <v>0.16</v>
      </c>
      <c r="D7" s="6" t="n">
        <v>8.57</v>
      </c>
      <c r="E7" s="6" t="n">
        <v>324.3</v>
      </c>
      <c r="F7" s="6" t="n">
        <v>310.7</v>
      </c>
      <c r="G7" s="6" t="n">
        <v>316.2</v>
      </c>
      <c r="H7" s="6" t="n">
        <f aca="false">AVERAGE(E7:G7)</f>
        <v>317.066666666667</v>
      </c>
      <c r="I7" s="6" t="n">
        <v>1046.1</v>
      </c>
      <c r="J7" s="6" t="n">
        <v>1045.2</v>
      </c>
      <c r="K7" s="6" t="n">
        <v>1043.6</v>
      </c>
      <c r="L7" s="6" t="n">
        <f aca="false">AVERAGE(I7:K7)</f>
        <v>1044.96666666667</v>
      </c>
      <c r="M7" s="6" t="n">
        <v>10</v>
      </c>
      <c r="N7" s="6" t="n">
        <f aca="false">(-LN((H7/L7))/(C7/10))/D7</f>
        <v>8.69769697531406</v>
      </c>
    </row>
    <row r="8" customFormat="false" ht="15.75" hidden="false" customHeight="false" outlineLevel="0" collapsed="false">
      <c r="A8" s="6" t="s">
        <v>26</v>
      </c>
      <c r="B8" s="6" t="n">
        <v>42</v>
      </c>
      <c r="C8" s="6" t="n">
        <v>0.1</v>
      </c>
      <c r="D8" s="6" t="n">
        <v>10.2</v>
      </c>
      <c r="E8" s="6" t="n">
        <v>192.6</v>
      </c>
      <c r="F8" s="6" t="n">
        <v>185</v>
      </c>
      <c r="G8" s="6" t="n">
        <v>184.7</v>
      </c>
      <c r="H8" s="6" t="n">
        <f aca="false">AVERAGE(E8:G8)</f>
        <v>187.433333333333</v>
      </c>
      <c r="I8" s="6" t="n">
        <v>1031.3</v>
      </c>
      <c r="J8" s="6" t="n">
        <v>1038.4</v>
      </c>
      <c r="K8" s="6" t="n">
        <v>1047.4</v>
      </c>
      <c r="L8" s="6" t="n">
        <f aca="false">AVERAGE(I8:K8)</f>
        <v>1039.03333333333</v>
      </c>
      <c r="M8" s="6" t="n">
        <v>10</v>
      </c>
      <c r="N8" s="6" t="n">
        <f aca="false">(-LN((H8/L8))/(C8/10))/D8</f>
        <v>16.790420059655</v>
      </c>
    </row>
    <row r="9" customFormat="false" ht="15.75" hidden="false" customHeight="false" outlineLevel="0" collapsed="false">
      <c r="A9" s="6" t="s">
        <v>27</v>
      </c>
      <c r="B9" s="6" t="n">
        <v>47</v>
      </c>
      <c r="C9" s="6" t="n">
        <v>0.05</v>
      </c>
      <c r="D9" s="6" t="n">
        <v>10.49</v>
      </c>
      <c r="E9" s="6" t="n">
        <v>338.4</v>
      </c>
      <c r="F9" s="6" t="n">
        <v>351.8</v>
      </c>
      <c r="G9" s="6" t="n">
        <v>349.4</v>
      </c>
      <c r="H9" s="6" t="n">
        <f aca="false">AVERAGE(E9:G9)</f>
        <v>346.533333333333</v>
      </c>
      <c r="I9" s="6" t="n">
        <v>1047.4</v>
      </c>
      <c r="J9" s="6" t="n">
        <v>1067.9</v>
      </c>
      <c r="K9" s="6" t="n">
        <v>1069.5</v>
      </c>
      <c r="L9" s="6" t="n">
        <f aca="false">AVERAGE(I9:K9)</f>
        <v>1061.6</v>
      </c>
      <c r="M9" s="6" t="n">
        <v>10</v>
      </c>
      <c r="N9" s="6" t="n">
        <f aca="false">(-LN((H9/L9))/(C9/10))/D9</f>
        <v>21.3451567000719</v>
      </c>
    </row>
    <row r="10" customFormat="false" ht="15.75" hidden="false" customHeight="false" outlineLevel="0" collapsed="false">
      <c r="A10" s="6" t="s">
        <v>28</v>
      </c>
      <c r="B10" s="6" t="n">
        <v>49</v>
      </c>
      <c r="C10" s="6" t="n">
        <v>0.1</v>
      </c>
      <c r="D10" s="6" t="n">
        <v>7.31</v>
      </c>
      <c r="E10" s="6" t="n">
        <v>155.9</v>
      </c>
      <c r="F10" s="6" t="n">
        <v>162.6</v>
      </c>
      <c r="G10" s="6" t="n">
        <v>159</v>
      </c>
      <c r="H10" s="6" t="n">
        <f aca="false">AVERAGE(E10:G10)</f>
        <v>159.166666666667</v>
      </c>
      <c r="I10" s="6" t="n">
        <v>1074.1</v>
      </c>
      <c r="J10" s="6" t="n">
        <v>1071</v>
      </c>
      <c r="K10" s="6" t="n">
        <v>1069.3</v>
      </c>
      <c r="L10" s="6" t="n">
        <f aca="false">AVERAGE(I10:K10)</f>
        <v>1071.46666666667</v>
      </c>
      <c r="M10" s="6" t="n">
        <v>10</v>
      </c>
      <c r="N10" s="6" t="n">
        <f aca="false">(-LN((H10/L10))/(C10/10))/D10</f>
        <v>26.0852508090272</v>
      </c>
    </row>
    <row r="11" customFormat="false" ht="15.75" hidden="false" customHeight="false" outlineLevel="0" collapsed="false">
      <c r="A11" s="6" t="s">
        <v>29</v>
      </c>
      <c r="B11" s="6" t="n">
        <v>13</v>
      </c>
      <c r="C11" s="6" t="n">
        <v>0.5</v>
      </c>
      <c r="D11" s="6" t="n">
        <v>2.7</v>
      </c>
      <c r="E11" s="6" t="n">
        <v>596.4</v>
      </c>
      <c r="F11" s="6" t="n">
        <v>584.7</v>
      </c>
      <c r="G11" s="6" t="n">
        <v>594.6</v>
      </c>
      <c r="H11" s="6" t="n">
        <f aca="false">AVERAGE(E11:G11)</f>
        <v>591.9</v>
      </c>
      <c r="I11" s="6" t="n">
        <v>1070</v>
      </c>
      <c r="J11" s="6" t="n">
        <v>1060.9</v>
      </c>
      <c r="K11" s="6" t="n">
        <v>1060.8</v>
      </c>
      <c r="L11" s="6" t="n">
        <f aca="false">AVERAGE(I11:K11)</f>
        <v>1063.9</v>
      </c>
      <c r="M11" s="6" t="n">
        <v>10</v>
      </c>
      <c r="N11" s="6" t="n">
        <f aca="false">(-LN((H11/L11))/(C11/10))/D11</f>
        <v>4.3433998431529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2025-11-27T14:47:05Z</dcterms:modified>
  <cp:revision>1</cp:revision>
  <dc:subject/>
  <dc:title/>
</cp:coreProperties>
</file>